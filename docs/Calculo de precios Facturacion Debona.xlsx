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_NEUMATIC\docs\"/>
    </mc:Choice>
  </mc:AlternateContent>
  <xr:revisionPtr revIDLastSave="0" documentId="13_ncr:1_{26C7B6C3-742A-443C-ADC2-D39C53B523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D27" i="1"/>
  <c r="D26" i="1"/>
  <c r="D25" i="1"/>
  <c r="D24" i="1"/>
  <c r="D23" i="1"/>
  <c r="D22" i="1"/>
  <c r="G19" i="1"/>
  <c r="I16" i="1"/>
  <c r="G4" i="1"/>
  <c r="I4" i="1" s="1"/>
  <c r="G16" i="1" l="1"/>
  <c r="I19" i="1" l="1"/>
</calcChain>
</file>

<file path=xl/sharedStrings.xml><?xml version="1.0" encoding="utf-8"?>
<sst xmlns="http://schemas.openxmlformats.org/spreadsheetml/2006/main" count="33" uniqueCount="26">
  <si>
    <t>codigo</t>
  </si>
  <si>
    <t>medidad</t>
  </si>
  <si>
    <t>descripcion</t>
  </si>
  <si>
    <t xml:space="preserve">D225/55 R 16 P  (22) PRIMACY 4 99W MICHELIN       </t>
  </si>
  <si>
    <t>225/55R16</t>
  </si>
  <si>
    <t>Precio</t>
  </si>
  <si>
    <t>Desc.</t>
  </si>
  <si>
    <t>Descuento del Vendedor</t>
  </si>
  <si>
    <t>Cliente</t>
  </si>
  <si>
    <t xml:space="preserve">RABAR ANTONIO  ADRIAN         </t>
  </si>
  <si>
    <t>Nombre</t>
  </si>
  <si>
    <t>Vendedor</t>
  </si>
  <si>
    <t>RANGO SERGIO</t>
  </si>
  <si>
    <t>noMBRE</t>
  </si>
  <si>
    <t>Col. Descuento</t>
  </si>
  <si>
    <t>Decuentos de Vendedores</t>
  </si>
  <si>
    <t>Columna 7 para Marca 1 Articulo 1</t>
  </si>
  <si>
    <t>Descuentos Revendedores</t>
  </si>
  <si>
    <t>para Marca 1 Articulo 1</t>
  </si>
  <si>
    <t>Precio de Venta</t>
  </si>
  <si>
    <t>Descuento del Producto</t>
  </si>
  <si>
    <t>Decuentos Revendedor</t>
  </si>
  <si>
    <t>Precio de venta con el descuento de la lista</t>
  </si>
  <si>
    <t>Precio con el descuento del vendedor</t>
  </si>
  <si>
    <t>Precio de Venta Final</t>
  </si>
  <si>
    <t>Precio con 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</si>
</sst>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9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9" fontId="0" fillId="0" borderId="8" xfId="1" applyFont="1" applyBorder="1"/>
    <xf numFmtId="0" fontId="2" fillId="0" borderId="0" xfId="0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Fill="1" applyBorder="1" applyAlignment="1">
      <alignment horizontal="right"/>
    </xf>
    <xf numFmtId="164" fontId="6" fillId="0" borderId="0" xfId="0" applyNumberFormat="1" applyFont="1"/>
    <xf numFmtId="164" fontId="2" fillId="0" borderId="0" xfId="0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5"/>
  <sheetViews>
    <sheetView tabSelected="1" workbookViewId="0">
      <selection activeCell="I17" sqref="I17"/>
    </sheetView>
  </sheetViews>
  <sheetFormatPr baseColWidth="10" defaultColWidth="9.140625" defaultRowHeight="15" x14ac:dyDescent="0.25"/>
  <cols>
    <col min="2" max="2" width="11.5703125" customWidth="1"/>
    <col min="3" max="3" width="42.28515625" customWidth="1"/>
    <col min="4" max="4" width="12.28515625" bestFit="1" customWidth="1"/>
    <col min="6" max="6" width="5" customWidth="1"/>
    <col min="7" max="7" width="25" customWidth="1"/>
    <col min="8" max="8" width="3.28515625" customWidth="1"/>
    <col min="9" max="9" width="34.85546875" bestFit="1" customWidth="1"/>
  </cols>
  <sheetData>
    <row r="2" spans="1:9" ht="15.75" thickBot="1" x14ac:dyDescent="0.3"/>
    <row r="3" spans="1:9" x14ac:dyDescent="0.25">
      <c r="A3" s="3" t="s">
        <v>0</v>
      </c>
      <c r="B3" s="4" t="s">
        <v>1</v>
      </c>
      <c r="C3" s="4" t="s">
        <v>2</v>
      </c>
      <c r="D3" s="4" t="s">
        <v>5</v>
      </c>
      <c r="E3" s="5" t="s">
        <v>6</v>
      </c>
      <c r="G3" s="19" t="s">
        <v>20</v>
      </c>
      <c r="I3" t="s">
        <v>25</v>
      </c>
    </row>
    <row r="4" spans="1:9" x14ac:dyDescent="0.25">
      <c r="A4" s="6">
        <v>4500</v>
      </c>
      <c r="B4" t="s">
        <v>4</v>
      </c>
      <c r="C4" t="s">
        <v>3</v>
      </c>
      <c r="D4" s="1">
        <v>484301</v>
      </c>
      <c r="E4" s="7">
        <v>0.35</v>
      </c>
      <c r="G4" s="14">
        <f>D4*E4</f>
        <v>169505.34999999998</v>
      </c>
      <c r="I4" s="1">
        <f>D4-G4</f>
        <v>314795.65000000002</v>
      </c>
    </row>
    <row r="5" spans="1:9" ht="15.75" thickBot="1" x14ac:dyDescent="0.3">
      <c r="A5" s="8"/>
      <c r="B5" s="9"/>
      <c r="C5" s="9"/>
      <c r="D5" s="9"/>
      <c r="E5" s="10"/>
    </row>
    <row r="7" spans="1:9" ht="15.75" thickBot="1" x14ac:dyDescent="0.3"/>
    <row r="8" spans="1:9" x14ac:dyDescent="0.25">
      <c r="A8" s="3"/>
      <c r="B8" s="4" t="s">
        <v>8</v>
      </c>
      <c r="C8" s="4" t="s">
        <v>10</v>
      </c>
      <c r="D8" s="4" t="s">
        <v>11</v>
      </c>
      <c r="E8" s="5"/>
    </row>
    <row r="9" spans="1:9" ht="15.75" thickBot="1" x14ac:dyDescent="0.3">
      <c r="A9" s="8"/>
      <c r="B9" s="9">
        <v>3779</v>
      </c>
      <c r="C9" s="9" t="s">
        <v>9</v>
      </c>
      <c r="D9" s="9">
        <v>14</v>
      </c>
      <c r="E9" s="10"/>
    </row>
    <row r="11" spans="1:9" ht="15.75" thickBot="1" x14ac:dyDescent="0.3"/>
    <row r="12" spans="1:9" x14ac:dyDescent="0.25">
      <c r="A12" s="3"/>
      <c r="B12" s="4" t="s">
        <v>11</v>
      </c>
      <c r="C12" s="4" t="s">
        <v>13</v>
      </c>
      <c r="D12" s="4" t="s">
        <v>14</v>
      </c>
      <c r="E12" s="5"/>
    </row>
    <row r="13" spans="1:9" x14ac:dyDescent="0.25">
      <c r="A13" s="6"/>
      <c r="B13">
        <v>14</v>
      </c>
      <c r="C13" t="s">
        <v>12</v>
      </c>
      <c r="D13">
        <v>7</v>
      </c>
      <c r="E13" s="11"/>
    </row>
    <row r="14" spans="1:9" x14ac:dyDescent="0.25">
      <c r="A14" s="6"/>
      <c r="E14" s="11"/>
    </row>
    <row r="15" spans="1:9" x14ac:dyDescent="0.25">
      <c r="A15" s="6"/>
      <c r="C15" t="s">
        <v>15</v>
      </c>
      <c r="E15" s="11"/>
      <c r="G15" s="18" t="s">
        <v>7</v>
      </c>
      <c r="I15" s="2" t="s">
        <v>23</v>
      </c>
    </row>
    <row r="16" spans="1:9" ht="15.75" thickBot="1" x14ac:dyDescent="0.3">
      <c r="A16" s="8"/>
      <c r="B16" s="9"/>
      <c r="C16" s="9" t="s">
        <v>16</v>
      </c>
      <c r="D16" s="9"/>
      <c r="E16" s="12">
        <v>0.28000000000000003</v>
      </c>
      <c r="G16" s="15">
        <f>I4*E16</f>
        <v>88142.782000000021</v>
      </c>
      <c r="I16" s="1">
        <f>I4-G16</f>
        <v>226652.86800000002</v>
      </c>
    </row>
    <row r="17" spans="1:9" ht="15.75" thickBot="1" x14ac:dyDescent="0.3"/>
    <row r="18" spans="1:9" x14ac:dyDescent="0.25">
      <c r="A18" s="3"/>
      <c r="B18" s="4"/>
      <c r="C18" s="4" t="s">
        <v>17</v>
      </c>
      <c r="D18" s="4"/>
      <c r="E18" s="5"/>
      <c r="G18" s="17" t="s">
        <v>21</v>
      </c>
      <c r="I18" s="2" t="s">
        <v>24</v>
      </c>
    </row>
    <row r="19" spans="1:9" x14ac:dyDescent="0.25">
      <c r="A19" s="6"/>
      <c r="C19" t="s">
        <v>18</v>
      </c>
      <c r="E19" s="7">
        <v>0.04</v>
      </c>
      <c r="G19" s="16">
        <f>I16*E19</f>
        <v>9066.1147200000014</v>
      </c>
      <c r="I19" s="1">
        <f>I16-G19</f>
        <v>217586.75328</v>
      </c>
    </row>
    <row r="20" spans="1:9" ht="15.75" thickBot="1" x14ac:dyDescent="0.3">
      <c r="A20" s="8"/>
      <c r="B20" s="9"/>
      <c r="C20" s="9"/>
      <c r="D20" s="9"/>
      <c r="E20" s="10"/>
      <c r="G20" s="1"/>
    </row>
    <row r="21" spans="1:9" ht="39.75" customHeight="1" x14ac:dyDescent="0.25">
      <c r="C21" s="13" t="s">
        <v>19</v>
      </c>
      <c r="D21" s="1"/>
    </row>
    <row r="22" spans="1:9" x14ac:dyDescent="0.25">
      <c r="C22" s="20" t="s">
        <v>5</v>
      </c>
      <c r="D22" s="22">
        <f>D4</f>
        <v>484301</v>
      </c>
    </row>
    <row r="23" spans="1:9" x14ac:dyDescent="0.25">
      <c r="C23" s="19" t="s">
        <v>20</v>
      </c>
      <c r="D23" s="21">
        <f>G4</f>
        <v>169505.34999999998</v>
      </c>
    </row>
    <row r="24" spans="1:9" x14ac:dyDescent="0.25">
      <c r="C24" s="2" t="s">
        <v>22</v>
      </c>
      <c r="D24" s="1">
        <f>I4</f>
        <v>314795.65000000002</v>
      </c>
    </row>
    <row r="25" spans="1:9" x14ac:dyDescent="0.25">
      <c r="C25" s="18" t="s">
        <v>7</v>
      </c>
      <c r="D25" s="1">
        <f>G16</f>
        <v>88142.782000000021</v>
      </c>
    </row>
    <row r="26" spans="1:9" x14ac:dyDescent="0.25">
      <c r="C26" s="2" t="s">
        <v>23</v>
      </c>
      <c r="D26" s="1">
        <f>I16</f>
        <v>226652.86800000002</v>
      </c>
    </row>
    <row r="27" spans="1:9" x14ac:dyDescent="0.25">
      <c r="C27" s="17" t="s">
        <v>21</v>
      </c>
      <c r="D27" s="1">
        <f>G19</f>
        <v>9066.1147200000014</v>
      </c>
    </row>
    <row r="28" spans="1:9" x14ac:dyDescent="0.25">
      <c r="C28" s="2" t="s">
        <v>24</v>
      </c>
      <c r="D28" s="1">
        <f>I19</f>
        <v>217586.75328</v>
      </c>
    </row>
    <row r="30" spans="1:9" x14ac:dyDescent="0.25">
      <c r="C30" s="19"/>
      <c r="D30" s="14"/>
    </row>
    <row r="31" spans="1:9" x14ac:dyDescent="0.25">
      <c r="C31" s="2"/>
      <c r="D31" s="1"/>
    </row>
    <row r="32" spans="1:9" x14ac:dyDescent="0.25">
      <c r="C32" s="18"/>
      <c r="D32" s="15"/>
    </row>
    <row r="33" spans="3:4" x14ac:dyDescent="0.25">
      <c r="C33" s="2"/>
      <c r="D33" s="1"/>
    </row>
    <row r="34" spans="3:4" x14ac:dyDescent="0.25">
      <c r="C34" s="17"/>
      <c r="D34" s="16"/>
    </row>
    <row r="35" spans="3:4" x14ac:dyDescent="0.25">
      <c r="C35" s="2"/>
      <c r="D35" s="1"/>
    </row>
  </sheetData>
  <pageMargins left="0.7" right="0.7" top="0.75" bottom="0.75" header="0.3" footer="0.3"/>
  <pageSetup scale="80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Andrés Ageno</dc:creator>
  <cp:lastModifiedBy>Ricardo Ramos</cp:lastModifiedBy>
  <cp:lastPrinted>2026-03-02T21:38:51Z</cp:lastPrinted>
  <dcterms:created xsi:type="dcterms:W3CDTF">2015-06-05T18:17:20Z</dcterms:created>
  <dcterms:modified xsi:type="dcterms:W3CDTF">2026-03-03T05:41:39Z</dcterms:modified>
</cp:coreProperties>
</file>